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z-BWA 2026" sheetId="1" state="visible" r:id="rId3"/>
    <sheet name="Offene Forderungen" sheetId="2" state="visible" r:id="rId4"/>
    <sheet name="Auftragsbestand" sheetId="3" state="visible" r:id="rId5"/>
    <sheet name="Hinwei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Summe der Ausgangsrechnungen der Projekte nach Rechnungsdatum (Nova Works App → Projekt → Ausgangsrechnungen, aus Lexware Office synchronisiert).</t>
        </r>
      </text>
    </comment>
    <comment ref="A6" authorId="0">
      <text>
        <r>
          <rPr>
            <sz val="10"/>
            <rFont val="Arial"/>
            <family val="2"/>
          </rPr>
          <t xml:space="preserve">Eingangsrechnungen mit Status „zugewiesen“ und Zuordnung zu einem Projekt, netto nach Rechnungsdatum (Nova Works App → Rechnungen). Enthält Fremdpersonal, Anmietung, Transport und Sonstiges; eine Aufteilung nach Kostenart ist in der App nicht hinterlegt.</t>
        </r>
      </text>
    </comment>
    <comment ref="A9" authorId="0">
      <text>
        <r>
          <rPr>
            <sz val="10"/>
            <rFont val="Arial"/>
            <family val="2"/>
          </rPr>
          <t xml:space="preserve">Planwerte aus Nova Works App → Overhead → Fixkosten: Gehalt Kilian Körber (Auszahlung) 4.958,38 €/Monat + Lohnsteuer/Soli 2.041,62 €/Monat ab Februar 2026. Arbeitgeberanteile zur Sozialversicherung sind nicht erfasst – die Buchhaltungs-BWA weist höhere Personalkosten aus.</t>
        </r>
      </text>
    </comment>
    <comment ref="A26" authorId="0">
      <text>
        <r>
          <rPr>
            <sz val="10"/>
            <rFont val="Arial"/>
            <family val="2"/>
          </rPr>
          <t xml:space="preserve">Monatliche Fixkosten laut Nova Works App → Overhead (ohne Gehalt/Finanzamt, ohne einmalige Messekosten). Dient nur dem Abgleich mit den Ist-Betriebsausgaben.</t>
        </r>
      </text>
    </comment>
    <comment ref="A27" authorId="0">
      <text>
        <r>
          <rPr>
            <sz val="10"/>
            <rFont val="Arial"/>
            <family val="2"/>
          </rPr>
          <t xml:space="preserve">Eingangsrechnungen im Postfach der App ohne Zuordnung. Sie fehlen oben in den Projektkosten bzw. Betriebsausgaben.</t>
        </r>
      </text>
    </comment>
  </commentList>
</comments>
</file>

<file path=xl/sharedStrings.xml><?xml version="1.0" encoding="utf-8"?>
<sst xmlns="http://schemas.openxmlformats.org/spreadsheetml/2006/main" count="180" uniqueCount="132">
  <si>
    <t xml:space="preserve">NOVA WORKS GmbH · Vorläufige Kurz-BWA Jan–Sep 2026</t>
  </si>
  <si>
    <t xml:space="preserve">Stand der Datensicherung: 22.09.2026 · alle Beträge netto in € · Grundlage: Nova Works App (Ausgangsrechnungen, zugeordnete Eingangsrechnungen, Overhead-Plan) · keine Buchhaltungs-BWA</t>
  </si>
  <si>
    <t xml:space="preserve">Position</t>
  </si>
  <si>
    <t xml:space="preserve">Jan 26</t>
  </si>
  <si>
    <t xml:space="preserve">Feb 26</t>
  </si>
  <si>
    <t xml:space="preserve">Mär 26</t>
  </si>
  <si>
    <t xml:space="preserve">Apr 26</t>
  </si>
  <si>
    <t xml:space="preserve">Mai 26</t>
  </si>
  <si>
    <t xml:space="preserve">Jun 26</t>
  </si>
  <si>
    <t xml:space="preserve">Jul 26</t>
  </si>
  <si>
    <t xml:space="preserve">Aug 26</t>
  </si>
  <si>
    <t xml:space="preserve">Sep 26</t>
  </si>
  <si>
    <t xml:space="preserve">Summe 2026</t>
  </si>
  <si>
    <t xml:space="preserve">Anteil am Umsatz</t>
  </si>
  <si>
    <t xml:space="preserve">Umsatzerlöse (Ausgangsrechnungen, netto)</t>
  </si>
  <si>
    <t xml:space="preserve">Projektkosten / Fremdleistungen (Eingangsrechnungen, Projekt zugeordnet)</t>
  </si>
  <si>
    <t xml:space="preserve">Rohertrag</t>
  </si>
  <si>
    <t xml:space="preserve">Personalkosten GF (Gehalt Auszahlung + Lohnsteuer/Soli, Plan)</t>
  </si>
  <si>
    <t xml:space="preserve">Betriebsausgaben (Eingangsrechnungen allgemein, je Sparte)</t>
  </si>
  <si>
    <t xml:space="preserve">   Marketing</t>
  </si>
  <si>
    <t xml:space="preserve">   Fahrzeugkosten (Auto-Abo)</t>
  </si>
  <si>
    <t xml:space="preserve">   Fahrzeugkosten Strom</t>
  </si>
  <si>
    <t xml:space="preserve">   Reisekosten</t>
  </si>
  <si>
    <t xml:space="preserve">   Betriebskosten (Hosting, Software, Büro)</t>
  </si>
  <si>
    <t xml:space="preserve">   Geschäftsausstattung</t>
  </si>
  <si>
    <t xml:space="preserve">   Versicherungen</t>
  </si>
  <si>
    <t xml:space="preserve">   Mobilfunk</t>
  </si>
  <si>
    <t xml:space="preserve">   Messen</t>
  </si>
  <si>
    <t xml:space="preserve">   Allgemein / Sonstiges</t>
  </si>
  <si>
    <t xml:space="preserve">Summe Betriebsausgaben</t>
  </si>
  <si>
    <t xml:space="preserve">Betriebsergebnis vor Abschreibungen, Zinsen und Steuern</t>
  </si>
  <si>
    <t xml:space="preserve">Nachrichtlich</t>
  </si>
  <si>
    <t xml:space="preserve">Fixkosten laut Overhead-Plan (ohne Personal, Vergleichswert)</t>
  </si>
  <si>
    <t xml:space="preserve">Noch nicht zugeordnete Eingangsrechnungen (Status „neu“)</t>
  </si>
  <si>
    <t xml:space="preserve">Kumulierter Umsatz</t>
  </si>
  <si>
    <t xml:space="preserve">Legende: blaue Zahlen = Werte aus der Datensicherung · schwarze Zahlen = Formeln · graue Zeilen = nachrichtlich. Monatszuordnung nach Rechnungsdatum (nicht nach Zahlung oder Leistungszeitraum).</t>
  </si>
  <si>
    <t xml:space="preserve">Offene Ausgangsrechnungen (noch nicht bezahlt) · Stand 22.09.2026 · netto</t>
  </si>
  <si>
    <t xml:space="preserve">Projekt</t>
  </si>
  <si>
    <t xml:space="preserve">Projektname</t>
  </si>
  <si>
    <t xml:space="preserve">Rechnung</t>
  </si>
  <si>
    <t xml:space="preserve">Rechnungsdatum</t>
  </si>
  <si>
    <t xml:space="preserve">Betrag netto €</t>
  </si>
  <si>
    <t xml:space="preserve">Tage offen</t>
  </si>
  <si>
    <t xml:space="preserve">26-0007</t>
  </si>
  <si>
    <t xml:space="preserve">80er Live</t>
  </si>
  <si>
    <t xml:space="preserve">Rechnung RE260037</t>
  </si>
  <si>
    <t xml:space="preserve">2026-08-10</t>
  </si>
  <si>
    <t xml:space="preserve">Rechnung RE260036</t>
  </si>
  <si>
    <t xml:space="preserve">26-0014</t>
  </si>
  <si>
    <t xml:space="preserve">Shutdown Festival</t>
  </si>
  <si>
    <t xml:space="preserve">Rechnung RE260042</t>
  </si>
  <si>
    <t xml:space="preserve">2026-08-26</t>
  </si>
  <si>
    <t xml:space="preserve">Rechnung RE260043</t>
  </si>
  <si>
    <t xml:space="preserve">2026-08-29</t>
  </si>
  <si>
    <t xml:space="preserve">Rechnung RE260041</t>
  </si>
  <si>
    <t xml:space="preserve">26-0032</t>
  </si>
  <si>
    <t xml:space="preserve">Glücksgefühle</t>
  </si>
  <si>
    <t xml:space="preserve">Rechnung RE260044</t>
  </si>
  <si>
    <t xml:space="preserve">2026-09-09</t>
  </si>
  <si>
    <t xml:space="preserve">26-0037</t>
  </si>
  <si>
    <t xml:space="preserve">Red Bull @ GG_Energy Station</t>
  </si>
  <si>
    <t xml:space="preserve">Rechnung RE260045</t>
  </si>
  <si>
    <t xml:space="preserve">26-0043</t>
  </si>
  <si>
    <t xml:space="preserve">Laser Mainz/Berlin Sept</t>
  </si>
  <si>
    <t xml:space="preserve">Rechnung RE260047</t>
  </si>
  <si>
    <t xml:space="preserve">2026-09-21</t>
  </si>
  <si>
    <t xml:space="preserve">26-0031</t>
  </si>
  <si>
    <t xml:space="preserve">SWR NPF 2026</t>
  </si>
  <si>
    <t xml:space="preserve">Rechnung RE260048</t>
  </si>
  <si>
    <t xml:space="preserve">2026-09-22</t>
  </si>
  <si>
    <t xml:space="preserve">Rechnung RE260051</t>
  </si>
  <si>
    <t xml:space="preserve">Rechnung RE260049</t>
  </si>
  <si>
    <t xml:space="preserve">Rechnung RE260050</t>
  </si>
  <si>
    <t xml:space="preserve">Summe</t>
  </si>
  <si>
    <t xml:space="preserve">Auftragsbestand und Forecast · Nova Works App · Stand 22.09.2026 · netto</t>
  </si>
  <si>
    <t xml:space="preserve">Nächste 12 Monate (Sep 2026 – Aug 2027)</t>
  </si>
  <si>
    <t xml:space="preserve">   Bestätigt / fest (Projektsummen)</t>
  </si>
  <si>
    <t xml:space="preserve">Projektsumme bestätigter Projekte und feste Planeinträge</t>
  </si>
  <si>
    <t xml:space="preserve">   Offen (Angebote auf Anfrage, ungewichtet)</t>
  </si>
  <si>
    <t xml:space="preserve">Angebots-Netto der Projekte „auf Anfrage“</t>
  </si>
  <si>
    <t xml:space="preserve">   Offen gewichtet (× Wahrscheinlichkeit)</t>
  </si>
  <si>
    <t xml:space="preserve">Standard-Wahrscheinlichkeit laut App</t>
  </si>
  <si>
    <t xml:space="preserve">   Forecast Umsatz (bestätigt + offen gewichtet)</t>
  </si>
  <si>
    <t xml:space="preserve">   Bereits abgerechnet</t>
  </si>
  <si>
    <t xml:space="preserve">Ausgangsrechnungen im Zeitraum</t>
  </si>
  <si>
    <t xml:space="preserve">   Geplante Projektkosten</t>
  </si>
  <si>
    <t xml:space="preserve">Kalkulations-Soll bzw. Angebots-EK</t>
  </si>
  <si>
    <t xml:space="preserve">   Marge (Forecast)</t>
  </si>
  <si>
    <t xml:space="preserve">   Fixkosten (Overhead-Plan)</t>
  </si>
  <si>
    <t xml:space="preserve">   Ergebnis nach Fixkosten</t>
  </si>
  <si>
    <t xml:space="preserve">Kalenderjahr 2026 (Jan 2026 – Dez 2026)</t>
  </si>
  <si>
    <t xml:space="preserve">Kalenderjahr 2027 (Jan 2027 – Dez 2027)</t>
  </si>
  <si>
    <t xml:space="preserve">Umsatz je Monat, nächste 12 Monate</t>
  </si>
  <si>
    <t xml:space="preserve">Monat</t>
  </si>
  <si>
    <t xml:space="preserve">Bestätigt / fest</t>
  </si>
  <si>
    <t xml:space="preserve">Offen gewichtet</t>
  </si>
  <si>
    <t xml:space="preserve">Abgerechnet</t>
  </si>
  <si>
    <t xml:space="preserve">Forecast</t>
  </si>
  <si>
    <t xml:space="preserve">Okt 26</t>
  </si>
  <si>
    <t xml:space="preserve">Nov 26</t>
  </si>
  <si>
    <t xml:space="preserve">Dez 26</t>
  </si>
  <si>
    <t xml:space="preserve">Jan 27</t>
  </si>
  <si>
    <t xml:space="preserve">Feb 27</t>
  </si>
  <si>
    <t xml:space="preserve">Mär 27</t>
  </si>
  <si>
    <t xml:space="preserve">Apr 27</t>
  </si>
  <si>
    <t xml:space="preserve">Mai 27</t>
  </si>
  <si>
    <t xml:space="preserve">Jun 27</t>
  </si>
  <si>
    <t xml:space="preserve">Jul 27</t>
  </si>
  <si>
    <t xml:space="preserve">Aug 27</t>
  </si>
  <si>
    <t xml:space="preserve">Projekte 2026 nach Status</t>
  </si>
  <si>
    <t xml:space="preserve">   bestätigt</t>
  </si>
  <si>
    <t xml:space="preserve">   angeboten / auf Anfrage</t>
  </si>
  <si>
    <t xml:space="preserve">   abgesagt</t>
  </si>
  <si>
    <t xml:space="preserve">Hinweise zu dieser Auswertung</t>
  </si>
  <si>
    <t xml:space="preserve">Was das ist</t>
  </si>
  <si>
    <t xml:space="preserve">Eine vorläufige Kurz-BWA aus den Betriebsdaten der Nova Works App (Datensicherung vom 22.09.2026). Sie zeigt Umsatz, Projektkosten, Personal und Betriebsausgaben je Monat nach Rechnungsdatum.</t>
  </si>
  <si>
    <t xml:space="preserve">Was das nicht ist</t>
  </si>
  <si>
    <t xml:space="preserve">Keine Betriebswirtschaftliche Auswertung aus der Finanzbuchhaltung. Es fehlen Abschreibungen, Zinsen, Steuern, Arbeitgeberanteile zur Sozialversicherung, Abgrenzungen und Bestandsveränderungen. Für Creditreform ist die BWA aus Lexware Office bzw. vom Steuerberater maßgeblich.</t>
  </si>
  <si>
    <t xml:space="preserve">Umsatz</t>
  </si>
  <si>
    <t xml:space="preserve">Ausgangsrechnungen der Projekte, netto, nach Rechnungsdatum. Zusätze ohne Rechnung und Projekte ohne Rechnungsstellung sind nicht enthalten.</t>
  </si>
  <si>
    <t xml:space="preserve">Projektkosten</t>
  </si>
  <si>
    <t xml:space="preserve">Eingangsrechnungen mit Projektzuordnung, netto. Die App weist in der Auswertung „Kosten (Ist)“ nur Rechnungen mit Positionszuordnung aus; hier sind alle projektbezogenen Rechnungen enthalten, deshalb kann der Wert leicht über „Kosten (Ist)“ liegen.</t>
  </si>
  <si>
    <t xml:space="preserve">Personal</t>
  </si>
  <si>
    <t xml:space="preserve">Nur Geschäftsführergehalt (Auszahlung) plus Lohnsteuer/Soli laut Overhead-Plan. Keine Sozialversicherung, keine weiteren Mitarbeiter.</t>
  </si>
  <si>
    <t xml:space="preserve">Betriebsausgaben</t>
  </si>
  <si>
    <t xml:space="preserve">Eingangsrechnungen ohne Projektbezug nach Sparte der App. Monatliche Fixkosten, zu denen noch keine Rechnung erfasst ist, fehlen; der Overhead-Plan steht zum Vergleich nachrichtlich darunter.</t>
  </si>
  <si>
    <t xml:space="preserve">Nicht zugeordnet</t>
  </si>
  <si>
    <t xml:space="preserve">Eingangsrechnungen mit Status „neu“ sind weder in den Projektkosten noch in den Betriebsausgaben enthalten (Summe siehe nachrichtliche Zeile).</t>
  </si>
  <si>
    <t xml:space="preserve">Monatszuordnung</t>
  </si>
  <si>
    <t xml:space="preserve">Nach Rechnungsdatum, nicht nach Leistungszeitraum oder Zahlungseingang. Vorkasse-Rechnungen können deshalb vor dem Veranstaltungsmonat liegen.</t>
  </si>
  <si>
    <t xml:space="preserve">Was Creditreform üblicherweise erwartet</t>
  </si>
  <si>
    <t xml:space="preserve">Aktuelle BWA mit Summen- und Saldenliste (per 30.09.), Eröffnungsbilanz bzw. letzter Jahresabschluss, Gesellschafterstruktur und Stammkapital, Auftragsbestand und Umsatzplanung (siehe Blatt Auftragsbestand), Bankverbindlichkeiten und Leasingverpflichtungen, Forderungsbestand (siehe Blatt Offene Forderungen).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</si>
</sst>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[RED]\-#,##0&quot; €&quot;;\-"/>
    <numFmt numFmtId="166" formatCode="0.0%;[RED]\-0.0%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EEE2"/>
        <bgColor rgb="FFEFECE7"/>
      </patternFill>
    </fill>
    <fill>
      <patternFill patternType="solid">
        <fgColor rgb="FFEFECE7"/>
        <bgColor rgb="FFF4EEE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8C8"/>
      </bottom>
      <diagonal/>
    </border>
    <border diagonalUp="false" diagonalDown="false">
      <left/>
      <right/>
      <top style="thin">
        <color rgb="FF3D3D3D"/>
      </top>
      <bottom/>
      <diagonal/>
    </border>
    <border diagonalUp="false" diagonalDown="false">
      <left/>
      <right/>
      <top style="double">
        <color rgb="FF3D3D3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C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4EEE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3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3" t="s">
        <v>13</v>
      </c>
    </row>
    <row r="5" customFormat="false" ht="15" hidden="false" customHeight="false" outlineLevel="0" collapsed="false">
      <c r="A5" s="5" t="s">
        <v>14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49995</v>
      </c>
      <c r="G5" s="6" t="n">
        <v>431945</v>
      </c>
      <c r="H5" s="6" t="n">
        <v>691996</v>
      </c>
      <c r="I5" s="6" t="n">
        <v>352882</v>
      </c>
      <c r="J5" s="6" t="n">
        <v>226098.7</v>
      </c>
      <c r="K5" s="7" t="n">
        <f aca="false">SUM(B5:J5)</f>
        <v>1752916.7</v>
      </c>
    </row>
    <row r="6" customFormat="false" ht="15" hidden="false" customHeight="false" outlineLevel="0" collapsed="false">
      <c r="A6" s="8" t="s">
        <v>15</v>
      </c>
      <c r="B6" s="6" t="n">
        <v>0</v>
      </c>
      <c r="C6" s="6" t="n">
        <v>16500</v>
      </c>
      <c r="D6" s="6" t="n">
        <v>0</v>
      </c>
      <c r="E6" s="6" t="n">
        <v>17386</v>
      </c>
      <c r="F6" s="6" t="n">
        <v>166660.17</v>
      </c>
      <c r="G6" s="6" t="n">
        <v>591185.56</v>
      </c>
      <c r="H6" s="6" t="n">
        <v>368605.65</v>
      </c>
      <c r="I6" s="6" t="n">
        <v>332386.5</v>
      </c>
      <c r="J6" s="6" t="n">
        <v>156092.44</v>
      </c>
      <c r="K6" s="9" t="n">
        <f aca="false">SUM(B6:J6)</f>
        <v>1648816.32</v>
      </c>
    </row>
    <row r="7" customFormat="false" ht="15" hidden="false" customHeight="false" outlineLevel="0" collapsed="false">
      <c r="A7" s="10" t="s">
        <v>16</v>
      </c>
      <c r="B7" s="11" t="n">
        <f aca="false">B5-B6</f>
        <v>0</v>
      </c>
      <c r="C7" s="11" t="n">
        <f aca="false">C5-C6</f>
        <v>-16500</v>
      </c>
      <c r="D7" s="11" t="n">
        <f aca="false">D5-D6</f>
        <v>0</v>
      </c>
      <c r="E7" s="11" t="n">
        <f aca="false">E5-E6</f>
        <v>-17386</v>
      </c>
      <c r="F7" s="11" t="n">
        <f aca="false">F5-F6</f>
        <v>-116665.17</v>
      </c>
      <c r="G7" s="11" t="n">
        <f aca="false">G5-G6</f>
        <v>-159240.56</v>
      </c>
      <c r="H7" s="11" t="n">
        <f aca="false">H5-H6</f>
        <v>323390.35</v>
      </c>
      <c r="I7" s="11" t="n">
        <f aca="false">I5-I6</f>
        <v>20495.5</v>
      </c>
      <c r="J7" s="11" t="n">
        <f aca="false">J5-J6</f>
        <v>70006.26</v>
      </c>
      <c r="K7" s="11" t="n">
        <f aca="false">K5-K6</f>
        <v>104100.38</v>
      </c>
      <c r="L7" s="12" t="n">
        <f aca="false">IF(K5=0,0,K7/K5)</f>
        <v>0.0593869520439847</v>
      </c>
    </row>
    <row r="9" customFormat="false" ht="15" hidden="false" customHeight="false" outlineLevel="0" collapsed="false">
      <c r="A9" s="8" t="s">
        <v>17</v>
      </c>
      <c r="B9" s="6" t="n">
        <v>0</v>
      </c>
      <c r="C9" s="6" t="n">
        <v>7000</v>
      </c>
      <c r="D9" s="6" t="n">
        <v>7000</v>
      </c>
      <c r="E9" s="6" t="n">
        <v>7000</v>
      </c>
      <c r="F9" s="6" t="n">
        <v>7000</v>
      </c>
      <c r="G9" s="6" t="n">
        <v>7000</v>
      </c>
      <c r="H9" s="6" t="n">
        <v>7000</v>
      </c>
      <c r="I9" s="6" t="n">
        <v>7000</v>
      </c>
      <c r="J9" s="6" t="n">
        <v>7000</v>
      </c>
      <c r="K9" s="9" t="n">
        <f aca="false">SUM(B9:J9)</f>
        <v>56000</v>
      </c>
    </row>
    <row r="10" customFormat="false" ht="15" hidden="false" customHeight="false" outlineLevel="0" collapsed="false">
      <c r="A10" s="5" t="s">
        <v>18</v>
      </c>
    </row>
    <row r="11" customFormat="false" ht="15" hidden="false" customHeight="false" outlineLevel="0" collapsed="false">
      <c r="A11" s="8" t="s">
        <v>19</v>
      </c>
      <c r="B11" s="6" t="n">
        <v>41.65</v>
      </c>
      <c r="C11" s="6" t="n">
        <v>900</v>
      </c>
      <c r="D11" s="6" t="n">
        <v>0</v>
      </c>
      <c r="E11" s="6" t="n">
        <v>0</v>
      </c>
      <c r="F11" s="6" t="n">
        <v>346</v>
      </c>
      <c r="G11" s="6" t="n">
        <v>17.5</v>
      </c>
      <c r="H11" s="6" t="n">
        <v>67.22</v>
      </c>
      <c r="I11" s="6" t="n">
        <v>0</v>
      </c>
      <c r="J11" s="6" t="n">
        <v>0</v>
      </c>
      <c r="K11" s="9" t="n">
        <f aca="false">SUM(B11:J11)</f>
        <v>1372.37</v>
      </c>
    </row>
    <row r="12" customFormat="false" ht="15" hidden="false" customHeight="false" outlineLevel="0" collapsed="false">
      <c r="A12" s="8" t="s">
        <v>20</v>
      </c>
      <c r="B12" s="6" t="n">
        <v>0</v>
      </c>
      <c r="C12" s="6" t="n">
        <v>2283.89</v>
      </c>
      <c r="D12" s="6" t="n">
        <v>772.13</v>
      </c>
      <c r="E12" s="6" t="n">
        <v>0</v>
      </c>
      <c r="F12" s="6" t="n">
        <v>776.33</v>
      </c>
      <c r="G12" s="6" t="n">
        <v>772.13</v>
      </c>
      <c r="H12" s="6" t="n">
        <v>772.13</v>
      </c>
      <c r="I12" s="6" t="n">
        <v>772.13</v>
      </c>
      <c r="J12" s="6" t="n">
        <v>0</v>
      </c>
      <c r="K12" s="9" t="n">
        <f aca="false">SUM(B12:J12)</f>
        <v>6148.74</v>
      </c>
    </row>
    <row r="13" customFormat="false" ht="15" hidden="false" customHeight="false" outlineLevel="0" collapsed="false">
      <c r="A13" s="8" t="s">
        <v>21</v>
      </c>
      <c r="B13" s="6" t="n">
        <v>0</v>
      </c>
      <c r="C13" s="6" t="n">
        <v>47.91</v>
      </c>
      <c r="D13" s="6" t="n">
        <v>155.59</v>
      </c>
      <c r="E13" s="6" t="n">
        <v>254.18</v>
      </c>
      <c r="F13" s="6" t="n">
        <v>214.34</v>
      </c>
      <c r="G13" s="6" t="n">
        <v>288.74</v>
      </c>
      <c r="H13" s="6" t="n">
        <v>310.23</v>
      </c>
      <c r="I13" s="6" t="n">
        <v>199.82</v>
      </c>
      <c r="J13" s="6" t="n">
        <v>53.15</v>
      </c>
      <c r="K13" s="9" t="n">
        <f aca="false">SUM(B13:J13)</f>
        <v>1523.96</v>
      </c>
    </row>
    <row r="14" customFormat="false" ht="15" hidden="false" customHeight="false" outlineLevel="0" collapsed="false">
      <c r="A14" s="8" t="s">
        <v>22</v>
      </c>
      <c r="B14" s="6" t="n">
        <v>0</v>
      </c>
      <c r="C14" s="6" t="n">
        <v>239.37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239.67</v>
      </c>
      <c r="J14" s="6" t="n">
        <v>0</v>
      </c>
      <c r="K14" s="9" t="n">
        <f aca="false">SUM(B14:J14)</f>
        <v>479.04</v>
      </c>
    </row>
    <row r="15" customFormat="false" ht="15" hidden="false" customHeight="false" outlineLevel="0" collapsed="false">
      <c r="A15" s="8" t="s">
        <v>23</v>
      </c>
      <c r="B15" s="6" t="n">
        <v>976.33</v>
      </c>
      <c r="C15" s="6" t="n">
        <v>21.78</v>
      </c>
      <c r="D15" s="6" t="n">
        <v>21.78</v>
      </c>
      <c r="E15" s="6" t="n">
        <v>565.78</v>
      </c>
      <c r="F15" s="6" t="n">
        <v>106.98</v>
      </c>
      <c r="G15" s="6" t="n">
        <v>28.51</v>
      </c>
      <c r="H15" s="6" t="n">
        <v>1511.21</v>
      </c>
      <c r="I15" s="6" t="n">
        <v>168.97</v>
      </c>
      <c r="J15" s="6" t="n">
        <v>41.78</v>
      </c>
      <c r="K15" s="9" t="n">
        <f aca="false">SUM(B15:J15)</f>
        <v>3443.12</v>
      </c>
    </row>
    <row r="16" customFormat="false" ht="15" hidden="false" customHeight="false" outlineLevel="0" collapsed="false">
      <c r="A16" s="8" t="s">
        <v>24</v>
      </c>
      <c r="B16" s="6" t="n">
        <v>0</v>
      </c>
      <c r="C16" s="6" t="n">
        <v>1000</v>
      </c>
      <c r="D16" s="6" t="n">
        <v>64.8</v>
      </c>
      <c r="E16" s="6" t="n">
        <v>0</v>
      </c>
      <c r="F16" s="6" t="n">
        <v>71.56</v>
      </c>
      <c r="G16" s="6" t="n">
        <v>70.66</v>
      </c>
      <c r="H16" s="6" t="n">
        <v>0</v>
      </c>
      <c r="I16" s="6" t="n">
        <v>866.13</v>
      </c>
      <c r="J16" s="6" t="n">
        <v>0</v>
      </c>
      <c r="K16" s="9" t="n">
        <f aca="false">SUM(B16:J16)</f>
        <v>2073.15</v>
      </c>
    </row>
    <row r="17" customFormat="false" ht="15" hidden="false" customHeight="false" outlineLevel="0" collapsed="false">
      <c r="A17" s="8" t="s">
        <v>25</v>
      </c>
      <c r="B17" s="6" t="n">
        <v>0</v>
      </c>
      <c r="C17" s="6" t="n">
        <v>954.42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9" t="n">
        <f aca="false">SUM(B17:J17)</f>
        <v>954.42</v>
      </c>
    </row>
    <row r="18" customFormat="false" ht="15" hidden="false" customHeight="false" outlineLevel="0" collapsed="false">
      <c r="A18" s="8" t="s">
        <v>26</v>
      </c>
      <c r="B18" s="6" t="n">
        <v>0</v>
      </c>
      <c r="C18" s="6" t="n">
        <v>0</v>
      </c>
      <c r="D18" s="6" t="n">
        <v>77.99</v>
      </c>
      <c r="E18" s="6" t="n">
        <v>56.68</v>
      </c>
      <c r="F18" s="6" t="n">
        <v>56.68</v>
      </c>
      <c r="G18" s="6" t="n">
        <v>56.68</v>
      </c>
      <c r="H18" s="6" t="n">
        <v>56.68</v>
      </c>
      <c r="I18" s="6" t="n">
        <v>56.68</v>
      </c>
      <c r="J18" s="6" t="n">
        <v>124.7</v>
      </c>
      <c r="K18" s="9" t="n">
        <f aca="false">SUM(B18:J18)</f>
        <v>486.09</v>
      </c>
    </row>
    <row r="19" customFormat="false" ht="15" hidden="false" customHeight="false" outlineLevel="0" collapsed="false">
      <c r="A19" s="8" t="s">
        <v>27</v>
      </c>
      <c r="B19" s="6" t="n">
        <v>386.75</v>
      </c>
      <c r="C19" s="6" t="n">
        <v>449.04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5262.65</v>
      </c>
      <c r="K19" s="9" t="n">
        <f aca="false">SUM(B19:J19)</f>
        <v>6098.44</v>
      </c>
    </row>
    <row r="20" customFormat="false" ht="15" hidden="false" customHeight="false" outlineLevel="0" collapsed="false">
      <c r="A20" s="8" t="s">
        <v>28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6050</v>
      </c>
      <c r="K20" s="9" t="n">
        <f aca="false">SUM(B20:J20)</f>
        <v>6050</v>
      </c>
    </row>
    <row r="21" customFormat="false" ht="15" hidden="false" customHeight="false" outlineLevel="0" collapsed="false">
      <c r="A21" s="10" t="s">
        <v>29</v>
      </c>
      <c r="B21" s="11" t="n">
        <f aca="false">SUM(B11:B20)</f>
        <v>1404.73</v>
      </c>
      <c r="C21" s="11" t="n">
        <f aca="false">SUM(C11:C20)</f>
        <v>5896.41</v>
      </c>
      <c r="D21" s="11" t="n">
        <f aca="false">SUM(D11:D20)</f>
        <v>1092.29</v>
      </c>
      <c r="E21" s="11" t="n">
        <f aca="false">SUM(E11:E20)</f>
        <v>876.64</v>
      </c>
      <c r="F21" s="11" t="n">
        <f aca="false">SUM(F11:F20)</f>
        <v>1571.89</v>
      </c>
      <c r="G21" s="11" t="n">
        <f aca="false">SUM(G11:G20)</f>
        <v>1234.22</v>
      </c>
      <c r="H21" s="11" t="n">
        <f aca="false">SUM(H11:H20)</f>
        <v>2717.47</v>
      </c>
      <c r="I21" s="11" t="n">
        <f aca="false">SUM(I11:I20)</f>
        <v>2303.4</v>
      </c>
      <c r="J21" s="11" t="n">
        <f aca="false">SUM(J11:J20)</f>
        <v>11532.28</v>
      </c>
      <c r="K21" s="11" t="n">
        <f aca="false">SUM(K11:K20)</f>
        <v>28629.33</v>
      </c>
      <c r="L21" s="13"/>
    </row>
    <row r="23" customFormat="false" ht="15" hidden="false" customHeight="false" outlineLevel="0" collapsed="false">
      <c r="A23" s="14" t="s">
        <v>30</v>
      </c>
      <c r="B23" s="15" t="n">
        <f aca="false">B7-B9-B21</f>
        <v>-1404.73</v>
      </c>
      <c r="C23" s="15" t="n">
        <f aca="false">C7-C9-C21</f>
        <v>-29396.41</v>
      </c>
      <c r="D23" s="15" t="n">
        <f aca="false">D7-D9-D21</f>
        <v>-8092.29</v>
      </c>
      <c r="E23" s="15" t="n">
        <f aca="false">E7-E9-E21</f>
        <v>-25262.64</v>
      </c>
      <c r="F23" s="15" t="n">
        <f aca="false">F7-F9-F21</f>
        <v>-125237.06</v>
      </c>
      <c r="G23" s="15" t="n">
        <f aca="false">G7-G9-G21</f>
        <v>-167474.78</v>
      </c>
      <c r="H23" s="15" t="n">
        <f aca="false">H7-H9-H21</f>
        <v>313672.88</v>
      </c>
      <c r="I23" s="15" t="n">
        <f aca="false">I7-I9-I21</f>
        <v>11192.1</v>
      </c>
      <c r="J23" s="15" t="n">
        <f aca="false">J7-J9-J21</f>
        <v>51473.98</v>
      </c>
      <c r="K23" s="15" t="n">
        <f aca="false">K7-K9-K21</f>
        <v>19471.0499999999</v>
      </c>
      <c r="L23" s="16" t="n">
        <f aca="false">IF(K5=0,0,K23/K5)</f>
        <v>0.0111078010723498</v>
      </c>
    </row>
    <row r="25" customFormat="false" ht="15" hidden="false" customHeight="false" outlineLevel="0" collapsed="false">
      <c r="A25" s="5" t="s">
        <v>31</v>
      </c>
    </row>
    <row r="26" customFormat="false" ht="15" hidden="false" customHeight="false" outlineLevel="0" collapsed="false">
      <c r="A26" s="2" t="s">
        <v>32</v>
      </c>
      <c r="B26" s="9" t="n">
        <v>0</v>
      </c>
      <c r="C26" s="9" t="n">
        <v>875.13</v>
      </c>
      <c r="D26" s="9" t="n">
        <v>931.81</v>
      </c>
      <c r="E26" s="9" t="n">
        <v>1051.14</v>
      </c>
      <c r="F26" s="9" t="n">
        <v>1051.14</v>
      </c>
      <c r="G26" s="9" t="n">
        <v>1051.14</v>
      </c>
      <c r="H26" s="9" t="n">
        <v>1051.14</v>
      </c>
      <c r="I26" s="9" t="n">
        <v>1051.14</v>
      </c>
      <c r="J26" s="9" t="n">
        <v>1051.14</v>
      </c>
      <c r="K26" s="9" t="n">
        <f aca="false">SUM(B26:J26)</f>
        <v>8113.78</v>
      </c>
    </row>
    <row r="27" customFormat="false" ht="15" hidden="false" customHeight="false" outlineLevel="0" collapsed="false">
      <c r="A27" s="2" t="s">
        <v>33</v>
      </c>
      <c r="B27" s="9" t="n">
        <v>0</v>
      </c>
      <c r="C27" s="9" t="n">
        <v>3900</v>
      </c>
      <c r="D27" s="9" t="n">
        <v>0</v>
      </c>
      <c r="E27" s="9" t="n">
        <v>0</v>
      </c>
      <c r="F27" s="9" t="n">
        <v>0</v>
      </c>
      <c r="G27" s="9" t="n">
        <v>3880</v>
      </c>
      <c r="H27" s="9" t="n">
        <v>0</v>
      </c>
      <c r="I27" s="9" t="n">
        <v>21100</v>
      </c>
      <c r="J27" s="9" t="n">
        <v>21522.18</v>
      </c>
      <c r="K27" s="9" t="n">
        <f aca="false">SUM(B27:J27)</f>
        <v>50402.18</v>
      </c>
    </row>
    <row r="28" customFormat="false" ht="15" hidden="false" customHeight="false" outlineLevel="0" collapsed="false">
      <c r="A28" s="17" t="s">
        <v>34</v>
      </c>
      <c r="B28" s="9" t="n">
        <f aca="false">SUM($B$5:B5)</f>
        <v>0</v>
      </c>
      <c r="C28" s="9" t="n">
        <f aca="false">SUM($B$5:C5)</f>
        <v>0</v>
      </c>
      <c r="D28" s="9" t="n">
        <f aca="false">SUM($B$5:D5)</f>
        <v>0</v>
      </c>
      <c r="E28" s="9" t="n">
        <f aca="false">SUM($B$5:E5)</f>
        <v>0</v>
      </c>
      <c r="F28" s="9" t="n">
        <f aca="false">SUM($B$5:F5)</f>
        <v>49995</v>
      </c>
      <c r="G28" s="9" t="n">
        <f aca="false">SUM($B$5:G5)</f>
        <v>481940</v>
      </c>
      <c r="H28" s="9" t="n">
        <f aca="false">SUM($B$5:H5)</f>
        <v>1173936</v>
      </c>
      <c r="I28" s="9" t="n">
        <f aca="false">SUM($B$5:I5)</f>
        <v>1526818</v>
      </c>
      <c r="J28" s="9" t="n">
        <f aca="false">SUM($B$5:J5)</f>
        <v>1752916.7</v>
      </c>
      <c r="K28" s="9" t="n">
        <f aca="false">K5</f>
        <v>1752916.7</v>
      </c>
    </row>
    <row r="30" customFormat="false" ht="15" hidden="false" customHeight="false" outlineLevel="0" collapsed="false">
      <c r="A30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18" t="s">
        <v>37</v>
      </c>
      <c r="B3" s="18" t="s">
        <v>38</v>
      </c>
      <c r="C3" s="18" t="s">
        <v>39</v>
      </c>
      <c r="D3" s="18" t="s">
        <v>40</v>
      </c>
      <c r="E3" s="18" t="s">
        <v>41</v>
      </c>
      <c r="F3" s="18" t="s">
        <v>42</v>
      </c>
    </row>
    <row r="4" customFormat="false" ht="15" hidden="false" customHeight="false" outlineLevel="0" collapsed="false">
      <c r="A4" s="17" t="s">
        <v>43</v>
      </c>
      <c r="B4" s="17" t="s">
        <v>44</v>
      </c>
      <c r="C4" s="17" t="s">
        <v>45</v>
      </c>
      <c r="D4" s="17" t="s">
        <v>46</v>
      </c>
      <c r="E4" s="6" t="n">
        <v>30702</v>
      </c>
      <c r="F4" s="17" t="n">
        <v>43</v>
      </c>
    </row>
    <row r="5" customFormat="false" ht="15" hidden="false" customHeight="false" outlineLevel="0" collapsed="false">
      <c r="A5" s="17" t="s">
        <v>43</v>
      </c>
      <c r="B5" s="17" t="s">
        <v>44</v>
      </c>
      <c r="C5" s="17" t="s">
        <v>47</v>
      </c>
      <c r="D5" s="17" t="s">
        <v>46</v>
      </c>
      <c r="E5" s="6" t="n">
        <v>13940</v>
      </c>
      <c r="F5" s="17" t="n">
        <v>43</v>
      </c>
    </row>
    <row r="6" customFormat="false" ht="15" hidden="false" customHeight="false" outlineLevel="0" collapsed="false">
      <c r="A6" s="17" t="s">
        <v>48</v>
      </c>
      <c r="B6" s="17" t="s">
        <v>49</v>
      </c>
      <c r="C6" s="17" t="s">
        <v>50</v>
      </c>
      <c r="D6" s="17" t="s">
        <v>51</v>
      </c>
      <c r="E6" s="6" t="n">
        <v>5480</v>
      </c>
      <c r="F6" s="17" t="n">
        <v>27</v>
      </c>
    </row>
    <row r="7" customFormat="false" ht="15" hidden="false" customHeight="false" outlineLevel="0" collapsed="false">
      <c r="A7" s="17" t="s">
        <v>43</v>
      </c>
      <c r="B7" s="17" t="s">
        <v>44</v>
      </c>
      <c r="C7" s="17" t="s">
        <v>52</v>
      </c>
      <c r="D7" s="17" t="s">
        <v>53</v>
      </c>
      <c r="E7" s="6" t="n">
        <v>52500</v>
      </c>
      <c r="F7" s="17" t="n">
        <v>24</v>
      </c>
    </row>
    <row r="8" customFormat="false" ht="15" hidden="false" customHeight="false" outlineLevel="0" collapsed="false">
      <c r="A8" s="17" t="s">
        <v>43</v>
      </c>
      <c r="B8" s="17" t="s">
        <v>44</v>
      </c>
      <c r="C8" s="17" t="s">
        <v>54</v>
      </c>
      <c r="D8" s="17" t="s">
        <v>53</v>
      </c>
      <c r="E8" s="6" t="n">
        <v>55000</v>
      </c>
      <c r="F8" s="17" t="n">
        <v>24</v>
      </c>
    </row>
    <row r="9" customFormat="false" ht="15" hidden="false" customHeight="false" outlineLevel="0" collapsed="false">
      <c r="A9" s="17" t="s">
        <v>55</v>
      </c>
      <c r="B9" s="17" t="s">
        <v>56</v>
      </c>
      <c r="C9" s="17" t="s">
        <v>57</v>
      </c>
      <c r="D9" s="17" t="s">
        <v>58</v>
      </c>
      <c r="E9" s="6" t="n">
        <v>26794</v>
      </c>
      <c r="F9" s="17" t="n">
        <v>13</v>
      </c>
    </row>
    <row r="10" customFormat="false" ht="15" hidden="false" customHeight="false" outlineLevel="0" collapsed="false">
      <c r="A10" s="17" t="s">
        <v>59</v>
      </c>
      <c r="B10" s="17" t="s">
        <v>60</v>
      </c>
      <c r="C10" s="17" t="s">
        <v>61</v>
      </c>
      <c r="D10" s="17" t="s">
        <v>58</v>
      </c>
      <c r="E10" s="6" t="n">
        <v>18144.4</v>
      </c>
      <c r="F10" s="17" t="n">
        <v>13</v>
      </c>
    </row>
    <row r="11" customFormat="false" ht="15" hidden="false" customHeight="false" outlineLevel="0" collapsed="false">
      <c r="A11" s="17" t="s">
        <v>62</v>
      </c>
      <c r="B11" s="17" t="s">
        <v>63</v>
      </c>
      <c r="C11" s="17" t="s">
        <v>64</v>
      </c>
      <c r="D11" s="17" t="s">
        <v>65</v>
      </c>
      <c r="E11" s="6" t="n">
        <v>9500</v>
      </c>
      <c r="F11" s="17" t="n">
        <v>1</v>
      </c>
    </row>
    <row r="12" customFormat="false" ht="15" hidden="false" customHeight="false" outlineLevel="0" collapsed="false">
      <c r="A12" s="17" t="s">
        <v>66</v>
      </c>
      <c r="B12" s="17" t="s">
        <v>67</v>
      </c>
      <c r="C12" s="17" t="s">
        <v>68</v>
      </c>
      <c r="D12" s="17" t="s">
        <v>69</v>
      </c>
      <c r="E12" s="6" t="n">
        <v>64874</v>
      </c>
      <c r="F12" s="17" t="n">
        <v>0</v>
      </c>
    </row>
    <row r="13" customFormat="false" ht="15" hidden="false" customHeight="false" outlineLevel="0" collapsed="false">
      <c r="A13" s="17" t="s">
        <v>66</v>
      </c>
      <c r="B13" s="17" t="s">
        <v>67</v>
      </c>
      <c r="C13" s="17" t="s">
        <v>70</v>
      </c>
      <c r="D13" s="17" t="s">
        <v>69</v>
      </c>
      <c r="E13" s="6" t="n">
        <v>11018.3</v>
      </c>
      <c r="F13" s="17" t="n">
        <v>0</v>
      </c>
    </row>
    <row r="14" customFormat="false" ht="15" hidden="false" customHeight="false" outlineLevel="0" collapsed="false">
      <c r="A14" s="17" t="s">
        <v>66</v>
      </c>
      <c r="B14" s="17" t="s">
        <v>67</v>
      </c>
      <c r="C14" s="17" t="s">
        <v>71</v>
      </c>
      <c r="D14" s="17" t="s">
        <v>69</v>
      </c>
      <c r="E14" s="6" t="n">
        <v>79286</v>
      </c>
      <c r="F14" s="17" t="n">
        <v>0</v>
      </c>
    </row>
    <row r="15" customFormat="false" ht="15" hidden="false" customHeight="false" outlineLevel="0" collapsed="false">
      <c r="A15" s="17" t="s">
        <v>66</v>
      </c>
      <c r="B15" s="17" t="s">
        <v>67</v>
      </c>
      <c r="C15" s="17" t="s">
        <v>72</v>
      </c>
      <c r="D15" s="17" t="s">
        <v>69</v>
      </c>
      <c r="E15" s="6" t="n">
        <v>15682</v>
      </c>
      <c r="F15" s="17" t="n">
        <v>0</v>
      </c>
    </row>
    <row r="16" customFormat="false" ht="15" hidden="false" customHeight="false" outlineLevel="0" collapsed="false">
      <c r="D16" s="5" t="s">
        <v>73</v>
      </c>
      <c r="E16" s="11" t="n">
        <f aca="false">SUM(E4:E15)</f>
        <v>382920.7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" t="s">
        <v>74</v>
      </c>
    </row>
    <row r="3" customFormat="false" ht="15" hidden="false" customHeight="false" outlineLevel="0" collapsed="false">
      <c r="A3" s="5" t="s">
        <v>75</v>
      </c>
    </row>
    <row r="4" customFormat="false" ht="15" hidden="false" customHeight="false" outlineLevel="0" collapsed="false">
      <c r="A4" s="17" t="s">
        <v>76</v>
      </c>
      <c r="B4" s="6" t="n">
        <v>300126.4</v>
      </c>
      <c r="C4" s="2" t="s">
        <v>77</v>
      </c>
    </row>
    <row r="5" customFormat="false" ht="15" hidden="false" customHeight="false" outlineLevel="0" collapsed="false">
      <c r="A5" s="17" t="s">
        <v>78</v>
      </c>
      <c r="B5" s="6" t="n">
        <v>1558705</v>
      </c>
      <c r="C5" s="2" t="s">
        <v>79</v>
      </c>
    </row>
    <row r="6" customFormat="false" ht="15" hidden="false" customHeight="false" outlineLevel="0" collapsed="false">
      <c r="A6" s="17" t="s">
        <v>80</v>
      </c>
      <c r="B6" s="6" t="n">
        <v>882740</v>
      </c>
      <c r="C6" s="2" t="s">
        <v>81</v>
      </c>
    </row>
    <row r="7" customFormat="false" ht="15" hidden="false" customHeight="false" outlineLevel="0" collapsed="false">
      <c r="A7" s="17" t="s">
        <v>82</v>
      </c>
      <c r="B7" s="6" t="n">
        <v>1182866.4</v>
      </c>
    </row>
    <row r="8" customFormat="false" ht="15" hidden="false" customHeight="false" outlineLevel="0" collapsed="false">
      <c r="A8" s="17" t="s">
        <v>83</v>
      </c>
      <c r="B8" s="6" t="n">
        <v>226098.7</v>
      </c>
      <c r="C8" s="2" t="s">
        <v>84</v>
      </c>
    </row>
    <row r="9" customFormat="false" ht="15" hidden="false" customHeight="false" outlineLevel="0" collapsed="false">
      <c r="A9" s="17" t="s">
        <v>85</v>
      </c>
      <c r="B9" s="6" t="n">
        <v>920826.69</v>
      </c>
      <c r="C9" s="2" t="s">
        <v>86</v>
      </c>
    </row>
    <row r="10" customFormat="false" ht="15" hidden="false" customHeight="false" outlineLevel="0" collapsed="false">
      <c r="A10" s="17" t="s">
        <v>87</v>
      </c>
      <c r="B10" s="6" t="n">
        <v>262039.7</v>
      </c>
    </row>
    <row r="11" customFormat="false" ht="15" hidden="false" customHeight="false" outlineLevel="0" collapsed="false">
      <c r="A11" s="17" t="s">
        <v>88</v>
      </c>
      <c r="B11" s="6" t="n">
        <v>98113.68</v>
      </c>
    </row>
    <row r="12" customFormat="false" ht="15" hidden="false" customHeight="false" outlineLevel="0" collapsed="false">
      <c r="A12" s="17" t="s">
        <v>89</v>
      </c>
      <c r="B12" s="6" t="n">
        <v>163926.02</v>
      </c>
    </row>
    <row r="14" customFormat="false" ht="15" hidden="false" customHeight="false" outlineLevel="0" collapsed="false">
      <c r="A14" s="5" t="s">
        <v>90</v>
      </c>
    </row>
    <row r="15" customFormat="false" ht="15" hidden="false" customHeight="false" outlineLevel="0" collapsed="false">
      <c r="A15" s="17" t="s">
        <v>76</v>
      </c>
      <c r="B15" s="6" t="n">
        <v>1424591.7</v>
      </c>
      <c r="C15" s="2" t="s">
        <v>77</v>
      </c>
    </row>
    <row r="16" customFormat="false" ht="15" hidden="false" customHeight="false" outlineLevel="0" collapsed="false">
      <c r="A16" s="17" t="s">
        <v>78</v>
      </c>
      <c r="B16" s="6" t="n">
        <v>508890</v>
      </c>
      <c r="C16" s="2" t="s">
        <v>79</v>
      </c>
    </row>
    <row r="17" customFormat="false" ht="15" hidden="false" customHeight="false" outlineLevel="0" collapsed="false">
      <c r="A17" s="17" t="s">
        <v>80</v>
      </c>
      <c r="B17" s="6" t="n">
        <v>254445</v>
      </c>
      <c r="C17" s="2" t="s">
        <v>81</v>
      </c>
    </row>
    <row r="18" customFormat="false" ht="15" hidden="false" customHeight="false" outlineLevel="0" collapsed="false">
      <c r="A18" s="17" t="s">
        <v>82</v>
      </c>
      <c r="B18" s="6" t="n">
        <v>1679036.7</v>
      </c>
    </row>
    <row r="19" customFormat="false" ht="15" hidden="false" customHeight="false" outlineLevel="0" collapsed="false">
      <c r="A19" s="17" t="s">
        <v>83</v>
      </c>
      <c r="B19" s="6" t="n">
        <v>1752916.7</v>
      </c>
      <c r="C19" s="2" t="s">
        <v>84</v>
      </c>
    </row>
    <row r="20" customFormat="false" ht="15" hidden="false" customHeight="false" outlineLevel="0" collapsed="false">
      <c r="A20" s="17" t="s">
        <v>85</v>
      </c>
      <c r="B20" s="6" t="n">
        <v>1722924.39</v>
      </c>
      <c r="C20" s="2" t="s">
        <v>86</v>
      </c>
    </row>
    <row r="21" customFormat="false" ht="15" hidden="false" customHeight="false" outlineLevel="0" collapsed="false">
      <c r="A21" s="17" t="s">
        <v>87</v>
      </c>
      <c r="B21" s="6" t="n">
        <v>-43887.69</v>
      </c>
    </row>
    <row r="22" customFormat="false" ht="15" hidden="false" customHeight="false" outlineLevel="0" collapsed="false">
      <c r="A22" s="17" t="s">
        <v>88</v>
      </c>
      <c r="B22" s="6" t="n">
        <v>88267.2</v>
      </c>
    </row>
    <row r="23" customFormat="false" ht="15" hidden="false" customHeight="false" outlineLevel="0" collapsed="false">
      <c r="A23" s="17" t="s">
        <v>89</v>
      </c>
      <c r="B23" s="6" t="n">
        <v>-132154.89</v>
      </c>
    </row>
    <row r="25" customFormat="false" ht="15" hidden="false" customHeight="false" outlineLevel="0" collapsed="false">
      <c r="A25" s="5" t="s">
        <v>91</v>
      </c>
    </row>
    <row r="26" customFormat="false" ht="15" hidden="false" customHeight="false" outlineLevel="0" collapsed="false">
      <c r="A26" s="17" t="s">
        <v>76</v>
      </c>
      <c r="B26" s="6" t="n">
        <v>0</v>
      </c>
      <c r="C26" s="2" t="s">
        <v>77</v>
      </c>
    </row>
    <row r="27" customFormat="false" ht="15" hidden="false" customHeight="false" outlineLevel="0" collapsed="false">
      <c r="A27" s="17" t="s">
        <v>78</v>
      </c>
      <c r="B27" s="6" t="n">
        <v>1049815</v>
      </c>
      <c r="C27" s="2" t="s">
        <v>79</v>
      </c>
    </row>
    <row r="28" customFormat="false" ht="15" hidden="false" customHeight="false" outlineLevel="0" collapsed="false">
      <c r="A28" s="17" t="s">
        <v>80</v>
      </c>
      <c r="B28" s="6" t="n">
        <v>628295</v>
      </c>
      <c r="C28" s="2" t="s">
        <v>81</v>
      </c>
    </row>
    <row r="29" customFormat="false" ht="15" hidden="false" customHeight="false" outlineLevel="0" collapsed="false">
      <c r="A29" s="17" t="s">
        <v>82</v>
      </c>
      <c r="B29" s="6" t="n">
        <v>628295</v>
      </c>
    </row>
    <row r="30" customFormat="false" ht="15" hidden="false" customHeight="false" outlineLevel="0" collapsed="false">
      <c r="A30" s="17" t="s">
        <v>83</v>
      </c>
      <c r="B30" s="6" t="n">
        <v>0</v>
      </c>
      <c r="C30" s="2" t="s">
        <v>84</v>
      </c>
    </row>
    <row r="31" customFormat="false" ht="15" hidden="false" customHeight="false" outlineLevel="0" collapsed="false">
      <c r="A31" s="17" t="s">
        <v>85</v>
      </c>
      <c r="B31" s="6" t="n">
        <v>412559.43</v>
      </c>
      <c r="C31" s="2" t="s">
        <v>86</v>
      </c>
    </row>
    <row r="32" customFormat="false" ht="15" hidden="false" customHeight="false" outlineLevel="0" collapsed="false">
      <c r="A32" s="17" t="s">
        <v>87</v>
      </c>
      <c r="B32" s="6" t="n">
        <v>215735.57</v>
      </c>
    </row>
    <row r="33" customFormat="false" ht="15" hidden="false" customHeight="false" outlineLevel="0" collapsed="false">
      <c r="A33" s="17" t="s">
        <v>88</v>
      </c>
      <c r="B33" s="6" t="n">
        <v>99613.68</v>
      </c>
    </row>
    <row r="34" customFormat="false" ht="15" hidden="false" customHeight="false" outlineLevel="0" collapsed="false">
      <c r="A34" s="17" t="s">
        <v>89</v>
      </c>
      <c r="B34" s="6" t="n">
        <v>116121.89</v>
      </c>
    </row>
    <row r="36" customFormat="false" ht="15" hidden="false" customHeight="false" outlineLevel="0" collapsed="false">
      <c r="A36" s="5" t="s">
        <v>92</v>
      </c>
    </row>
    <row r="37" customFormat="false" ht="15" hidden="false" customHeight="false" outlineLevel="0" collapsed="false">
      <c r="A37" s="18" t="s">
        <v>93</v>
      </c>
      <c r="B37" s="18" t="s">
        <v>94</v>
      </c>
      <c r="C37" s="18" t="s">
        <v>95</v>
      </c>
      <c r="D37" s="18" t="s">
        <v>96</v>
      </c>
      <c r="E37" s="18" t="s">
        <v>97</v>
      </c>
    </row>
    <row r="38" customFormat="false" ht="15" hidden="false" customHeight="false" outlineLevel="0" collapsed="false">
      <c r="A38" s="17" t="s">
        <v>11</v>
      </c>
      <c r="B38" s="6" t="n">
        <v>253606.4</v>
      </c>
      <c r="C38" s="6" t="n">
        <v>0</v>
      </c>
      <c r="D38" s="6" t="n">
        <v>226098.7</v>
      </c>
      <c r="E38" s="9" t="n">
        <f aca="false">B38+C38</f>
        <v>253606.4</v>
      </c>
    </row>
    <row r="39" customFormat="false" ht="15" hidden="false" customHeight="false" outlineLevel="0" collapsed="false">
      <c r="A39" s="17" t="s">
        <v>98</v>
      </c>
      <c r="B39" s="6" t="n">
        <v>0</v>
      </c>
      <c r="C39" s="6" t="n">
        <v>70162</v>
      </c>
      <c r="D39" s="6" t="n">
        <v>0</v>
      </c>
      <c r="E39" s="9" t="n">
        <f aca="false">B39+C39</f>
        <v>70162</v>
      </c>
    </row>
    <row r="40" customFormat="false" ht="15" hidden="false" customHeight="false" outlineLevel="0" collapsed="false">
      <c r="A40" s="17" t="s">
        <v>99</v>
      </c>
      <c r="B40" s="6" t="n">
        <v>46520</v>
      </c>
      <c r="C40" s="6" t="n">
        <v>131966.13</v>
      </c>
      <c r="D40" s="6" t="n">
        <v>0</v>
      </c>
      <c r="E40" s="9" t="n">
        <f aca="false">B40+C40</f>
        <v>178486.13</v>
      </c>
    </row>
    <row r="41" customFormat="false" ht="15" hidden="false" customHeight="false" outlineLevel="0" collapsed="false">
      <c r="A41" s="17" t="s">
        <v>100</v>
      </c>
      <c r="B41" s="6" t="n">
        <v>0</v>
      </c>
      <c r="C41" s="6" t="n">
        <v>52316.87</v>
      </c>
      <c r="D41" s="6" t="n">
        <v>0</v>
      </c>
      <c r="E41" s="9" t="n">
        <f aca="false">B41+C41</f>
        <v>52316.87</v>
      </c>
    </row>
    <row r="42" customFormat="false" ht="15" hidden="false" customHeight="false" outlineLevel="0" collapsed="false">
      <c r="A42" s="17" t="s">
        <v>101</v>
      </c>
      <c r="B42" s="6" t="n">
        <v>0</v>
      </c>
      <c r="C42" s="6" t="n">
        <v>4625</v>
      </c>
      <c r="D42" s="6" t="n">
        <v>0</v>
      </c>
      <c r="E42" s="9" t="n">
        <f aca="false">B42+C42</f>
        <v>4625</v>
      </c>
    </row>
    <row r="43" customFormat="false" ht="15" hidden="false" customHeight="false" outlineLevel="0" collapsed="false">
      <c r="A43" s="17" t="s">
        <v>102</v>
      </c>
      <c r="B43" s="6" t="n">
        <v>0</v>
      </c>
      <c r="C43" s="6" t="n">
        <v>2165.38</v>
      </c>
      <c r="D43" s="6" t="n">
        <v>0</v>
      </c>
      <c r="E43" s="9" t="n">
        <f aca="false">B43+C43</f>
        <v>2165.38</v>
      </c>
    </row>
    <row r="44" customFormat="false" ht="15" hidden="false" customHeight="false" outlineLevel="0" collapsed="false">
      <c r="A44" s="17" t="s">
        <v>103</v>
      </c>
      <c r="B44" s="6" t="n">
        <v>0</v>
      </c>
      <c r="C44" s="6" t="n">
        <v>11909.62</v>
      </c>
      <c r="D44" s="6" t="n">
        <v>0</v>
      </c>
      <c r="E44" s="9" t="n">
        <f aca="false">B44+C44</f>
        <v>11909.62</v>
      </c>
    </row>
    <row r="45" customFormat="false" ht="15" hidden="false" customHeight="false" outlineLevel="0" collapsed="false">
      <c r="A45" s="17" t="s">
        <v>104</v>
      </c>
      <c r="B45" s="6" t="n">
        <v>0</v>
      </c>
      <c r="C45" s="6" t="n">
        <v>98147.5</v>
      </c>
      <c r="D45" s="6" t="n">
        <v>0</v>
      </c>
      <c r="E45" s="9" t="n">
        <f aca="false">B45+C45</f>
        <v>98147.5</v>
      </c>
    </row>
    <row r="46" customFormat="false" ht="15" hidden="false" customHeight="false" outlineLevel="0" collapsed="false">
      <c r="A46" s="17" t="s">
        <v>105</v>
      </c>
      <c r="B46" s="6" t="n">
        <v>0</v>
      </c>
      <c r="C46" s="6" t="n">
        <v>0</v>
      </c>
      <c r="D46" s="6" t="n">
        <v>0</v>
      </c>
      <c r="E46" s="9" t="n">
        <f aca="false">B46+C46</f>
        <v>0</v>
      </c>
    </row>
    <row r="47" customFormat="false" ht="15" hidden="false" customHeight="false" outlineLevel="0" collapsed="false">
      <c r="A47" s="17" t="s">
        <v>106</v>
      </c>
      <c r="B47" s="6" t="n">
        <v>0</v>
      </c>
      <c r="C47" s="6" t="n">
        <v>318262.5</v>
      </c>
      <c r="D47" s="6" t="n">
        <v>0</v>
      </c>
      <c r="E47" s="9" t="n">
        <f aca="false">B47+C47</f>
        <v>318262.5</v>
      </c>
    </row>
    <row r="48" customFormat="false" ht="15" hidden="false" customHeight="false" outlineLevel="0" collapsed="false">
      <c r="A48" s="17" t="s">
        <v>107</v>
      </c>
      <c r="B48" s="6" t="n">
        <v>0</v>
      </c>
      <c r="C48" s="6" t="n">
        <v>193185</v>
      </c>
      <c r="D48" s="6" t="n">
        <v>0</v>
      </c>
      <c r="E48" s="9" t="n">
        <f aca="false">B48+C48</f>
        <v>193185</v>
      </c>
    </row>
    <row r="49" customFormat="false" ht="15" hidden="false" customHeight="false" outlineLevel="0" collapsed="false">
      <c r="A49" s="17" t="s">
        <v>108</v>
      </c>
      <c r="B49" s="6" t="n">
        <v>0</v>
      </c>
      <c r="C49" s="6" t="n">
        <v>0</v>
      </c>
      <c r="D49" s="6" t="n">
        <v>0</v>
      </c>
      <c r="E49" s="9" t="n">
        <f aca="false">B49+C49</f>
        <v>0</v>
      </c>
    </row>
    <row r="50" customFormat="false" ht="15" hidden="false" customHeight="false" outlineLevel="0" collapsed="false">
      <c r="A50" s="5" t="s">
        <v>73</v>
      </c>
      <c r="B50" s="11" t="n">
        <f aca="false">SUM(B38:B49)</f>
        <v>300126.4</v>
      </c>
      <c r="C50" s="11" t="n">
        <f aca="false">SUM(C38:C49)</f>
        <v>882740</v>
      </c>
      <c r="D50" s="11" t="n">
        <f aca="false">SUM(D38:D49)</f>
        <v>226098.7</v>
      </c>
      <c r="E50" s="11" t="n">
        <f aca="false">SUM(E38:E49)</f>
        <v>1182866.4</v>
      </c>
    </row>
    <row r="52" customFormat="false" ht="15" hidden="false" customHeight="false" outlineLevel="0" collapsed="false">
      <c r="A52" s="5" t="s">
        <v>109</v>
      </c>
    </row>
    <row r="53" customFormat="false" ht="15" hidden="false" customHeight="false" outlineLevel="0" collapsed="false">
      <c r="A53" s="17" t="s">
        <v>110</v>
      </c>
      <c r="B53" s="8" t="n">
        <v>19</v>
      </c>
    </row>
    <row r="54" customFormat="false" ht="15" hidden="false" customHeight="false" outlineLevel="0" collapsed="false">
      <c r="A54" s="17" t="s">
        <v>111</v>
      </c>
      <c r="B54" s="8" t="n">
        <v>10</v>
      </c>
    </row>
    <row r="55" customFormat="false" ht="15" hidden="false" customHeight="false" outlineLevel="0" collapsed="false">
      <c r="A55" s="17" t="s">
        <v>112</v>
      </c>
      <c r="B55" s="8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113</v>
      </c>
    </row>
    <row r="3" customFormat="false" ht="48" hidden="false" customHeight="true" outlineLevel="0" collapsed="false">
      <c r="A3" s="5" t="s">
        <v>114</v>
      </c>
      <c r="B3" s="19" t="s">
        <v>115</v>
      </c>
    </row>
    <row r="4" customFormat="false" ht="48" hidden="false" customHeight="true" outlineLevel="0" collapsed="false">
      <c r="A4" s="5" t="s">
        <v>116</v>
      </c>
      <c r="B4" s="19" t="s">
        <v>117</v>
      </c>
    </row>
    <row r="5" customFormat="false" ht="48" hidden="false" customHeight="true" outlineLevel="0" collapsed="false">
      <c r="A5" s="5" t="s">
        <v>118</v>
      </c>
      <c r="B5" s="19" t="s">
        <v>119</v>
      </c>
    </row>
    <row r="6" customFormat="false" ht="48" hidden="false" customHeight="true" outlineLevel="0" collapsed="false">
      <c r="A6" s="5" t="s">
        <v>120</v>
      </c>
      <c r="B6" s="19" t="s">
        <v>121</v>
      </c>
    </row>
    <row r="7" customFormat="false" ht="48" hidden="false" customHeight="true" outlineLevel="0" collapsed="false">
      <c r="A7" s="5" t="s">
        <v>122</v>
      </c>
      <c r="B7" s="19" t="s">
        <v>123</v>
      </c>
    </row>
    <row r="8" customFormat="false" ht="48" hidden="false" customHeight="true" outlineLevel="0" collapsed="false">
      <c r="A8" s="5" t="s">
        <v>124</v>
      </c>
      <c r="B8" s="19" t="s">
        <v>125</v>
      </c>
    </row>
    <row r="9" customFormat="false" ht="48" hidden="false" customHeight="true" outlineLevel="0" collapsed="false">
      <c r="A9" s="5" t="s">
        <v>126</v>
      </c>
      <c r="B9" s="19" t="s">
        <v>127</v>
      </c>
    </row>
    <row r="10" customFormat="false" ht="48" hidden="false" customHeight="true" outlineLevel="0" collapsed="false">
      <c r="A10" s="5" t="s">
        <v>128</v>
      </c>
      <c r="B10" s="19" t="s">
        <v>129</v>
      </c>
    </row>
    <row r="11" customFormat="false" ht="48" hidden="false" customHeight="true" outlineLevel="0" collapsed="false">
      <c r="A11" s="5" t="s">
        <v>130</v>
      </c>
      <c r="B11" s="19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2026-10-01T14:54:26Z</dcterms:created>
  <dc:creator>openpyxl</dc:creator>
  <dc:description/>
  <dc:language>en-US</dc:language>
  <cp:lastModifiedBy/>
  <dcterms:modified xsi:type="dcterms:W3CDTF">2026-10-01T14:54:26Z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